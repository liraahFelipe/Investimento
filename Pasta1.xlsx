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lesimpact-my.sharepoint.com/personal/felipe_lima_salesimpact_com_br/Documents/Área de Trabalho/Projeto excel/"/>
    </mc:Choice>
  </mc:AlternateContent>
  <xr:revisionPtr revIDLastSave="0" documentId="8_{09B2F5F6-AA90-4F3D-9081-D486E9CAA53C}" xr6:coauthVersionLast="47" xr6:coauthVersionMax="47" xr10:uidLastSave="{00000000-0000-0000-0000-000000000000}"/>
  <bookViews>
    <workbookView xWindow="-108" yWindow="-108" windowWidth="23256" windowHeight="12456" xr2:uid="{AE7B8C05-85A2-4191-941C-70D70D5D7982}"/>
  </bookViews>
  <sheets>
    <sheet name="Planilha1" sheetId="1" r:id="rId1"/>
    <sheet name="Planilha2" sheetId="2" r:id="rId2"/>
  </sheets>
  <definedNames>
    <definedName name="Aporte">Planilha1!$B$6</definedName>
    <definedName name="Quantidade_Anos">Planilha1!$B$7</definedName>
    <definedName name="rendimento_carteira">Planilha1!$F$7</definedName>
    <definedName name="Taxa_Mensal">Planilha1!$B$8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1" l="1"/>
  <c r="B10" i="1" s="1"/>
  <c r="F8" i="1"/>
  <c r="B27" i="1"/>
  <c r="B28" i="1"/>
  <c r="B29" i="1"/>
  <c r="B30" i="1"/>
  <c r="B31" i="1"/>
  <c r="B26" i="1"/>
  <c r="A20" i="2"/>
  <c r="A19" i="2"/>
  <c r="A18" i="2"/>
  <c r="A17" i="2"/>
  <c r="A16" i="2"/>
  <c r="A15" i="2"/>
  <c r="A14" i="2"/>
  <c r="A13" i="2"/>
  <c r="A12" i="2"/>
  <c r="A11" i="2"/>
  <c r="A10" i="2"/>
  <c r="A9" i="2"/>
  <c r="A4" i="2"/>
  <c r="A5" i="2"/>
  <c r="A6" i="2"/>
  <c r="A7" i="2"/>
  <c r="A8" i="2"/>
  <c r="A3" i="2"/>
  <c r="B23" i="1"/>
  <c r="B16" i="1"/>
  <c r="C16" i="1" s="1"/>
  <c r="B17" i="1"/>
  <c r="C17" i="1" s="1"/>
  <c r="B18" i="1"/>
  <c r="C18" i="1" s="1"/>
  <c r="B19" i="1"/>
  <c r="C19" i="1" s="1"/>
  <c r="B15" i="1"/>
  <c r="C15" i="1" s="1"/>
  <c r="C27" i="1" l="1"/>
  <c r="C28" i="1"/>
  <c r="C30" i="1"/>
  <c r="C29" i="1"/>
  <c r="C31" i="1"/>
  <c r="C26" i="1"/>
</calcChain>
</file>

<file path=xl/sharedStrings.xml><?xml version="1.0" encoding="utf-8"?>
<sst xmlns="http://schemas.openxmlformats.org/spreadsheetml/2006/main" count="69" uniqueCount="33">
  <si>
    <t>INVESTIMENTO MENSAL</t>
  </si>
  <si>
    <t>QUANTO INVESTIR POR MÊS?</t>
  </si>
  <si>
    <t>POR QUANTOS ANOS?</t>
  </si>
  <si>
    <t>TAXA DE RENDIMENTO MENSAL?</t>
  </si>
  <si>
    <t>PATRIMÔNIO ACUMULADO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</si>
  <si>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</si>
  <si>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</si>
  <si>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</si>
  <si>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</si>
  <si>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</si>
  <si>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</si>
  <si>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</si>
  <si>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</si>
  <si>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</si>
  <si>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SALÁRIO</t>
  </si>
  <si>
    <t>RENDIMENTO CARTEIRA</t>
  </si>
  <si>
    <t>SUGESTÃO DE INVESTIMENTO</t>
  </si>
  <si>
    <t>PERFIL</t>
  </si>
  <si>
    <t>AGRESSIVO</t>
  </si>
  <si>
    <t>MODERADO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</si>
  <si>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</si>
  <si>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</si>
  <si>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</si>
  <si>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</si>
  <si>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</si>
  <si>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</si>
  <si>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</si>
  <si>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HIBRÍDOS</t>
  </si>
  <si>
    <t>FOFs</t>
  </si>
  <si>
    <t>DESENVOLVIMENTO</t>
  </si>
  <si>
    <t>HOTELARIAS</t>
  </si>
  <si>
    <t>Percentual Sugerido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</si>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</sst>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Border="1"/>
    <xf numFmtId="0" fontId="0" fillId="2" borderId="0" xfId="0" applyFill="1" applyBorder="1"/>
    <xf numFmtId="0" fontId="0" fillId="2" borderId="0" xfId="0" applyFill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44" fontId="0" fillId="0" borderId="12" xfId="1" applyFont="1" applyBorder="1"/>
    <xf numFmtId="9" fontId="0" fillId="0" borderId="12" xfId="0" applyNumberFormat="1" applyBorder="1" applyAlignment="1">
      <alignment horizontal="center"/>
    </xf>
    <xf numFmtId="165" fontId="0" fillId="2" borderId="4" xfId="1" applyNumberFormat="1" applyFont="1" applyFill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2" borderId="3" xfId="0" applyFont="1" applyFill="1" applyBorder="1"/>
    <xf numFmtId="0" fontId="6" fillId="0" borderId="3" xfId="0" applyFont="1" applyBorder="1"/>
    <xf numFmtId="0" fontId="6" fillId="4" borderId="3" xfId="0" applyFont="1" applyFill="1" applyBorder="1"/>
    <xf numFmtId="0" fontId="6" fillId="4" borderId="5" xfId="0" applyFont="1" applyFill="1" applyBorder="1"/>
    <xf numFmtId="0" fontId="7" fillId="4" borderId="3" xfId="0" applyFont="1" applyFill="1" applyBorder="1"/>
    <xf numFmtId="0" fontId="7" fillId="4" borderId="5" xfId="0" applyFont="1" applyFill="1" applyBorder="1"/>
    <xf numFmtId="0" fontId="6" fillId="7" borderId="0" xfId="0" applyFont="1" applyFill="1" applyBorder="1"/>
    <xf numFmtId="0" fontId="0" fillId="7" borderId="0" xfId="0" applyFill="1"/>
    <xf numFmtId="165" fontId="0" fillId="0" borderId="0" xfId="1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8" fontId="0" fillId="4" borderId="0" xfId="0" applyNumberFormat="1" applyFill="1" applyBorder="1" applyAlignment="1">
      <alignment horizontal="center"/>
    </xf>
    <xf numFmtId="8" fontId="0" fillId="4" borderId="8" xfId="0" applyNumberFormat="1" applyFill="1" applyBorder="1" applyAlignment="1">
      <alignment horizontal="center"/>
    </xf>
    <xf numFmtId="8" fontId="0" fillId="4" borderId="4" xfId="0" applyNumberFormat="1" applyFill="1" applyBorder="1" applyAlignment="1">
      <alignment horizontal="center"/>
    </xf>
    <xf numFmtId="8" fontId="0" fillId="4" borderId="6" xfId="0" applyNumberFormat="1" applyFill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0" fontId="8" fillId="6" borderId="9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66AC-EA0A-4595-A3B6-F0CCD965FA48}">
  <dimension ref="A4:H32"/>
  <sheetViews>
    <sheetView tabSelected="1" workbookViewId="0">
      <selection activeCell="A2" sqref="A2"/>
    </sheetView>
  </sheetViews>
  <sheetFormatPr defaultRowHeight="14.4" x14ac:dyDescent="0.3"/>
  <cols>
    <col min="1" max="1" width="38.5546875" customWidth="1"/>
    <col min="2" max="2" width="26.44140625" customWidth="1"/>
    <col min="3" max="3" width="11.5546875" bestFit="1" customWidth="1"/>
    <col min="5" max="5" width="25.44140625" bestFit="1" customWidth="1"/>
    <col min="6" max="6" width="11.88671875" bestFit="1" customWidth="1"/>
  </cols>
  <sheetData>
    <row r="4" spans="1:8" ht="13.8" customHeight="1" thickBot="1" x14ac:dyDescent="0.35">
      <c r="A4" s="2"/>
      <c r="B4" s="2"/>
      <c r="C4" s="2"/>
      <c r="D4" s="2"/>
      <c r="E4" s="1"/>
      <c r="F4" s="1"/>
      <c r="G4" s="1"/>
      <c r="H4" s="1"/>
    </row>
    <row r="5" spans="1:8" ht="36.6" customHeight="1" x14ac:dyDescent="0.3">
      <c r="A5" s="7" t="s">
        <v>0</v>
      </c>
      <c r="B5" s="10"/>
      <c r="C5" s="2"/>
      <c r="D5" s="2"/>
      <c r="E5" s="41" t="s">
        <v>13</v>
      </c>
      <c r="F5" s="11"/>
      <c r="G5" s="1"/>
      <c r="H5" s="1"/>
    </row>
    <row r="6" spans="1:8" ht="15.6" x14ac:dyDescent="0.3">
      <c r="A6" s="19" t="s">
        <v>1</v>
      </c>
      <c r="B6" s="16">
        <v>200</v>
      </c>
      <c r="C6" s="2"/>
      <c r="D6" s="2"/>
      <c r="E6" s="12" t="s">
        <v>14</v>
      </c>
      <c r="F6" s="14">
        <v>1550</v>
      </c>
      <c r="G6" s="1"/>
      <c r="H6" s="1"/>
    </row>
    <row r="7" spans="1:8" ht="15.6" x14ac:dyDescent="0.3">
      <c r="A7" s="20" t="s">
        <v>2</v>
      </c>
      <c r="B7" s="18">
        <v>5</v>
      </c>
      <c r="C7" s="3"/>
      <c r="D7" s="3"/>
      <c r="E7" s="12" t="s">
        <v>15</v>
      </c>
      <c r="F7" s="15">
        <v>6.0000000000000001E-3</v>
      </c>
    </row>
    <row r="8" spans="1:8" ht="16.2" thickBot="1" x14ac:dyDescent="0.35">
      <c r="A8" s="20" t="s">
        <v>3</v>
      </c>
      <c r="B8" s="17">
        <v>1.0800000000000001E-2</v>
      </c>
      <c r="E8" s="13" t="s">
        <v>16</v>
      </c>
      <c r="F8" s="40">
        <f>F6*30%</f>
        <v>465</v>
      </c>
    </row>
    <row r="9" spans="1:8" ht="15.6" x14ac:dyDescent="0.3">
      <c r="A9" s="23" t="s">
        <v>4</v>
      </c>
      <c r="B9" s="35">
        <f>FV(B8,B7*12,B6*-1)</f>
        <v>16760.803871851687</v>
      </c>
    </row>
    <row r="10" spans="1:8" ht="15.6" x14ac:dyDescent="0.3">
      <c r="A10" s="24" t="s">
        <v>5</v>
      </c>
      <c r="B10" s="36">
        <f>B9*1%</f>
        <v>167.60803871851687</v>
      </c>
    </row>
    <row r="13" spans="1:8" x14ac:dyDescent="0.3">
      <c r="A13" s="2"/>
      <c r="B13" s="2"/>
    </row>
    <row r="14" spans="1:8" ht="31.2" x14ac:dyDescent="0.6">
      <c r="A14" s="6" t="s">
        <v>11</v>
      </c>
      <c r="B14" s="8"/>
      <c r="C14" s="9" t="s">
        <v>12</v>
      </c>
    </row>
    <row r="15" spans="1:8" ht="15.6" x14ac:dyDescent="0.3">
      <c r="A15" s="21" t="s">
        <v>6</v>
      </c>
      <c r="B15" s="33">
        <f>FV($B$8,$D15*12,$B$6*-1)</f>
        <v>5446.172732116318</v>
      </c>
      <c r="C15" s="35">
        <f>B15*rendimento_carteira</f>
        <v>32.677036392697907</v>
      </c>
      <c r="D15" s="4">
        <v>2</v>
      </c>
    </row>
    <row r="16" spans="1:8" ht="15.6" x14ac:dyDescent="0.3">
      <c r="A16" s="21" t="s">
        <v>7</v>
      </c>
      <c r="B16" s="33">
        <f>FV($B$8,$D16*12,$B$6*-1)</f>
        <v>16760.803871851687</v>
      </c>
      <c r="C16" s="35">
        <f>B16*rendimento_carteira</f>
        <v>100.56482323111013</v>
      </c>
      <c r="D16" s="4">
        <v>5</v>
      </c>
    </row>
    <row r="17" spans="1:4" ht="15.6" x14ac:dyDescent="0.3">
      <c r="A17" s="21" t="s">
        <v>8</v>
      </c>
      <c r="B17" s="33">
        <f>FV($B$8,$D17*12,$B$6*-1)</f>
        <v>48691.533250960019</v>
      </c>
      <c r="C17" s="35">
        <f>B17*rendimento_carteira</f>
        <v>292.14919950576012</v>
      </c>
      <c r="D17" s="4">
        <v>10</v>
      </c>
    </row>
    <row r="18" spans="1:4" ht="15.6" x14ac:dyDescent="0.3">
      <c r="A18" s="21" t="s">
        <v>9</v>
      </c>
      <c r="B18" s="33">
        <f>FV($B$8,$D18*12,$B$6*-1)</f>
        <v>225409.79865970465</v>
      </c>
      <c r="C18" s="35">
        <f>B18*rendimento_carteira</f>
        <v>1352.4587919582279</v>
      </c>
      <c r="D18" s="4">
        <v>20</v>
      </c>
    </row>
    <row r="19" spans="1:4" ht="15.6" x14ac:dyDescent="0.3">
      <c r="A19" s="22" t="s">
        <v>10</v>
      </c>
      <c r="B19" s="34">
        <f>FV($B$8,$D19*12,$B$6*-1)</f>
        <v>866780.96206335025</v>
      </c>
      <c r="C19" s="36">
        <f>B19*rendimento_carteira</f>
        <v>5200.6857723801013</v>
      </c>
      <c r="D19" s="4">
        <v>30</v>
      </c>
    </row>
    <row r="22" spans="1:4" ht="15.6" x14ac:dyDescent="0.3">
      <c r="A22" s="25" t="s">
        <v>17</v>
      </c>
      <c r="B22" s="26" t="s">
        <v>18</v>
      </c>
      <c r="C22" s="26"/>
    </row>
    <row r="23" spans="1:4" x14ac:dyDescent="0.3">
      <c r="A23" t="s">
        <v>21</v>
      </c>
      <c r="B23" s="27">
        <f>Aporte</f>
        <v>200</v>
      </c>
    </row>
    <row r="25" spans="1:4" x14ac:dyDescent="0.3">
      <c r="A25" s="28" t="s">
        <v>22</v>
      </c>
      <c r="B25" s="29" t="s">
        <v>23</v>
      </c>
      <c r="C25" s="29" t="s">
        <v>24</v>
      </c>
    </row>
    <row r="26" spans="1:4" x14ac:dyDescent="0.3">
      <c r="A26" s="5" t="s">
        <v>25</v>
      </c>
      <c r="B26" s="31">
        <f>VLOOKUP($B$22&amp;"-"&amp;A26,Planilha2!$A:$D,4,FALSE)</f>
        <v>0.5</v>
      </c>
      <c r="C26" s="32">
        <f>B26*$B$23</f>
        <v>100</v>
      </c>
    </row>
    <row r="27" spans="1:4" x14ac:dyDescent="0.3">
      <c r="A27" s="5" t="s">
        <v>26</v>
      </c>
      <c r="B27" s="31">
        <f>VLOOKUP($B$22&amp;"-"&amp;A27,Planilha2!$A:$D,4,FALSE)</f>
        <v>0.1</v>
      </c>
      <c r="C27" s="32">
        <f t="shared" ref="C27:C31" si="0">B27*$B$23</f>
        <v>20</v>
      </c>
    </row>
    <row r="28" spans="1:4" x14ac:dyDescent="0.3">
      <c r="A28" s="5" t="s">
        <v>27</v>
      </c>
      <c r="B28" s="31">
        <f>VLOOKUP($B$22&amp;"-"&amp;A28,Planilha2!$A:$D,4,FALSE)</f>
        <v>0.05</v>
      </c>
      <c r="C28" s="32">
        <f t="shared" si="0"/>
        <v>10</v>
      </c>
    </row>
    <row r="29" spans="1:4" x14ac:dyDescent="0.3">
      <c r="A29" s="5" t="s">
        <v>28</v>
      </c>
      <c r="B29" s="31">
        <f>VLOOKUP($B$22&amp;"-"&amp;A29,Planilha2!$A:$D,4,FALSE)</f>
        <v>0.05</v>
      </c>
      <c r="C29" s="32">
        <f t="shared" si="0"/>
        <v>10</v>
      </c>
    </row>
    <row r="30" spans="1:4" x14ac:dyDescent="0.3">
      <c r="A30" s="5" t="s">
        <v>29</v>
      </c>
      <c r="B30" s="31">
        <f>VLOOKUP($B$22&amp;"-"&amp;A30,Planilha2!$A:$D,4,FALSE)</f>
        <v>0.2</v>
      </c>
      <c r="C30" s="32">
        <f t="shared" si="0"/>
        <v>40</v>
      </c>
    </row>
    <row r="31" spans="1:4" x14ac:dyDescent="0.3">
      <c r="A31" s="5" t="s">
        <v>30</v>
      </c>
      <c r="B31" s="31">
        <f>VLOOKUP($B$22&amp;"-"&amp;A31,Planilha2!$A:$D,4,FALSE)</f>
        <v>0.1</v>
      </c>
      <c r="C31" s="32">
        <f t="shared" si="0"/>
        <v>20</v>
      </c>
    </row>
    <row r="32" spans="1:4" x14ac:dyDescent="0.3">
      <c r="A32" s="30"/>
      <c r="B32" s="30"/>
      <c r="C32" s="30"/>
    </row>
  </sheetData>
  <mergeCells count="3">
    <mergeCell ref="A14:B14"/>
    <mergeCell ref="A5:B5"/>
    <mergeCell ref="E5:F5"/>
  </mergeCells>
  <dataValidations count="1">
    <dataValidation type="list" allowBlank="1" showInputMessage="1" showErrorMessage="1" sqref="B22" xr:uid="{749CC59C-F17C-41CE-BB68-BF153CEE9803}">
      <formula1>"CONSERVADOR, MODERADO, AGRESSIVO"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4F04-D249-41A9-834C-BB71345566D0}">
  <dimension ref="A2:D21"/>
  <sheetViews>
    <sheetView workbookViewId="0">
      <selection activeCell="A14" sqref="A14"/>
    </sheetView>
  </sheetViews>
  <sheetFormatPr defaultRowHeight="14.4" x14ac:dyDescent="0.3"/>
  <cols>
    <col min="1" max="1" width="31.5546875" bestFit="1" customWidth="1"/>
    <col min="2" max="2" width="14" bestFit="1" customWidth="1"/>
    <col min="3" max="3" width="17.6640625" bestFit="1" customWidth="1"/>
    <col min="4" max="4" width="17.33203125" bestFit="1" customWidth="1"/>
  </cols>
  <sheetData>
    <row r="2" spans="1:4" x14ac:dyDescent="0.3">
      <c r="A2" t="s">
        <v>32</v>
      </c>
      <c r="B2" t="s">
        <v>17</v>
      </c>
      <c r="C2" t="s">
        <v>22</v>
      </c>
      <c r="D2" t="s">
        <v>31</v>
      </c>
    </row>
    <row r="3" spans="1:4" x14ac:dyDescent="0.3">
      <c r="A3" t="str">
        <f>B3&amp;"-"&amp;C3</f>
        <v>CONSERVADOR-PAPEL</v>
      </c>
      <c r="B3" t="s">
        <v>20</v>
      </c>
      <c r="C3" s="5" t="s">
        <v>25</v>
      </c>
      <c r="D3" s="31">
        <v>0.3</v>
      </c>
    </row>
    <row r="4" spans="1:4" x14ac:dyDescent="0.3">
      <c r="A4" t="str">
        <f t="shared" ref="A4:A20" si="0">B4&amp;"-"&amp;C4</f>
        <v>CONSERVADOR-TIJOLO</v>
      </c>
      <c r="B4" t="s">
        <v>20</v>
      </c>
      <c r="C4" s="5" t="s">
        <v>26</v>
      </c>
      <c r="D4" s="31">
        <v>0.5</v>
      </c>
    </row>
    <row r="5" spans="1:4" x14ac:dyDescent="0.3">
      <c r="A5" t="str">
        <f t="shared" si="0"/>
        <v>CONSERVADOR-HIBRÍDOS</v>
      </c>
      <c r="B5" t="s">
        <v>20</v>
      </c>
      <c r="C5" s="5" t="s">
        <v>27</v>
      </c>
      <c r="D5" s="31">
        <v>0.1</v>
      </c>
    </row>
    <row r="6" spans="1:4" x14ac:dyDescent="0.3">
      <c r="A6" t="str">
        <f t="shared" si="0"/>
        <v>CONSERVADOR-FOFs</v>
      </c>
      <c r="B6" t="s">
        <v>20</v>
      </c>
      <c r="C6" s="5" t="s">
        <v>28</v>
      </c>
      <c r="D6" s="31">
        <v>0.1</v>
      </c>
    </row>
    <row r="7" spans="1:4" x14ac:dyDescent="0.3">
      <c r="A7" t="str">
        <f t="shared" si="0"/>
        <v>CONSERVADOR-DESENVOLVIMENTO</v>
      </c>
      <c r="B7" t="s">
        <v>20</v>
      </c>
      <c r="C7" s="5" t="s">
        <v>29</v>
      </c>
      <c r="D7" s="31">
        <v>0</v>
      </c>
    </row>
    <row r="8" spans="1:4" ht="15" thickBot="1" x14ac:dyDescent="0.35">
      <c r="A8" s="37" t="str">
        <f t="shared" si="0"/>
        <v>CONSERVADOR-HOTELARIAS</v>
      </c>
      <c r="B8" s="37" t="s">
        <v>20</v>
      </c>
      <c r="C8" s="38" t="s">
        <v>30</v>
      </c>
      <c r="D8" s="39">
        <v>0</v>
      </c>
    </row>
    <row r="9" spans="1:4" ht="15" thickTop="1" x14ac:dyDescent="0.3">
      <c r="A9" t="str">
        <f>B9&amp;"-"&amp;C9</f>
        <v>MODERADO-PAPEL</v>
      </c>
      <c r="B9" t="s">
        <v>19</v>
      </c>
      <c r="C9" s="5" t="s">
        <v>25</v>
      </c>
      <c r="D9" s="31">
        <v>0.32</v>
      </c>
    </row>
    <row r="10" spans="1:4" x14ac:dyDescent="0.3">
      <c r="A10" t="str">
        <f t="shared" si="0"/>
        <v>MODERADO-TIJOLO</v>
      </c>
      <c r="B10" t="s">
        <v>19</v>
      </c>
      <c r="C10" s="5" t="s">
        <v>26</v>
      </c>
      <c r="D10" s="31">
        <v>0.4</v>
      </c>
    </row>
    <row r="11" spans="1:4" x14ac:dyDescent="0.3">
      <c r="A11" t="str">
        <f t="shared" si="0"/>
        <v>MODERADO-HIBRÍDOS</v>
      </c>
      <c r="B11" t="s">
        <v>19</v>
      </c>
      <c r="C11" s="5" t="s">
        <v>27</v>
      </c>
      <c r="D11" s="31">
        <v>0.08</v>
      </c>
    </row>
    <row r="12" spans="1:4" x14ac:dyDescent="0.3">
      <c r="A12" t="str">
        <f t="shared" si="0"/>
        <v>MODERADO-FOFs</v>
      </c>
      <c r="B12" t="s">
        <v>19</v>
      </c>
      <c r="C12" s="5" t="s">
        <v>28</v>
      </c>
      <c r="D12" s="31">
        <v>0.1</v>
      </c>
    </row>
    <row r="13" spans="1:4" x14ac:dyDescent="0.3">
      <c r="A13" t="str">
        <f t="shared" si="0"/>
        <v>MODERADO-DESENVOLVIMENTO</v>
      </c>
      <c r="B13" t="s">
        <v>19</v>
      </c>
      <c r="C13" s="5" t="s">
        <v>29</v>
      </c>
      <c r="D13" s="31">
        <v>0.1</v>
      </c>
    </row>
    <row r="14" spans="1:4" ht="15" thickBot="1" x14ac:dyDescent="0.35">
      <c r="A14" s="37" t="str">
        <f t="shared" si="0"/>
        <v>MODERADO-HOTELARIAS</v>
      </c>
      <c r="B14" s="37" t="s">
        <v>19</v>
      </c>
      <c r="C14" s="38" t="s">
        <v>30</v>
      </c>
      <c r="D14" s="39">
        <v>0.1</v>
      </c>
    </row>
    <row r="15" spans="1:4" ht="15" thickTop="1" x14ac:dyDescent="0.3">
      <c r="A15" t="str">
        <f>B15&amp;"-"&amp;C15</f>
        <v>AGRESSIVO-PAPEL</v>
      </c>
      <c r="B15" t="s">
        <v>18</v>
      </c>
      <c r="C15" s="5" t="s">
        <v>25</v>
      </c>
      <c r="D15" s="31">
        <v>0.5</v>
      </c>
    </row>
    <row r="16" spans="1:4" x14ac:dyDescent="0.3">
      <c r="A16" t="str">
        <f t="shared" si="0"/>
        <v>AGRESSIVO-TIJOLO</v>
      </c>
      <c r="B16" t="s">
        <v>18</v>
      </c>
      <c r="C16" s="5" t="s">
        <v>26</v>
      </c>
      <c r="D16" s="31">
        <v>0.1</v>
      </c>
    </row>
    <row r="17" spans="1:4" x14ac:dyDescent="0.3">
      <c r="A17" t="str">
        <f t="shared" si="0"/>
        <v>AGRESSIVO-HIBRÍDOS</v>
      </c>
      <c r="B17" t="s">
        <v>18</v>
      </c>
      <c r="C17" s="5" t="s">
        <v>27</v>
      </c>
      <c r="D17" s="31">
        <v>0.05</v>
      </c>
    </row>
    <row r="18" spans="1:4" x14ac:dyDescent="0.3">
      <c r="A18" t="str">
        <f t="shared" si="0"/>
        <v>AGRESSIVO-FOFs</v>
      </c>
      <c r="B18" t="s">
        <v>18</v>
      </c>
      <c r="C18" s="5" t="s">
        <v>28</v>
      </c>
      <c r="D18" s="31">
        <v>0.05</v>
      </c>
    </row>
    <row r="19" spans="1:4" x14ac:dyDescent="0.3">
      <c r="A19" t="str">
        <f t="shared" si="0"/>
        <v>AGRESSIVO-DESENVOLVIMENTO</v>
      </c>
      <c r="B19" t="s">
        <v>18</v>
      </c>
      <c r="C19" s="5" t="s">
        <v>29</v>
      </c>
      <c r="D19" s="31">
        <v>0.2</v>
      </c>
    </row>
    <row r="20" spans="1:4" ht="15" thickBot="1" x14ac:dyDescent="0.35">
      <c r="A20" s="37" t="str">
        <f t="shared" si="0"/>
        <v>AGRESSIVO-HOTELARIAS</v>
      </c>
      <c r="B20" t="s">
        <v>18</v>
      </c>
      <c r="C20" s="5" t="s">
        <v>30</v>
      </c>
      <c r="D20" s="31">
        <v>0.1</v>
      </c>
    </row>
    <row r="21" spans="1:4" ht="15" thickTop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Planilha1</vt:lpstr>
      <vt:lpstr>Planilha2</vt:lpstr>
      <vt:lpstr>Aporte</vt:lpstr>
      <vt:lpstr>Quantidade_Anos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Lira de Lima</dc:creator>
  <cp:lastModifiedBy>Felipe Lira de Lima</cp:lastModifiedBy>
  <dcterms:created xsi:type="dcterms:W3CDTF">2026-10-17T19:02:17Z</dcterms:created>
  <dcterms:modified xsi:type="dcterms:W3CDTF">2026-10-17T20:52:43Z</dcterms:modified>
</cp:coreProperties>
</file>